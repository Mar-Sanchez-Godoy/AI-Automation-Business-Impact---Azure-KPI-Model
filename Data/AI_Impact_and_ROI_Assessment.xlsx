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s" sheetId="1" r:id="rId4"/>
    <sheet state="visible" name="Formato Locker" sheetId="2" r:id="rId5"/>
  </sheets>
  <definedNames/>
  <calcPr/>
  <extLst>
    <ext uri="GoogleSheetsCustomDataVersion2">
      <go:sheetsCustomData xmlns:go="http://customooxmlschemas.google.com/" r:id="rId6" roundtripDataChecksum="bXBNMxcxfH+QbJaJFxFdPyywcd+3xvIgpuytnOfxouE="/>
    </ext>
  </extLst>
</workbook>
</file>

<file path=xl/sharedStrings.xml><?xml version="1.0" encoding="utf-8"?>
<sst xmlns="http://schemas.openxmlformats.org/spreadsheetml/2006/main" count="164" uniqueCount="155">
  <si>
    <t>Economics</t>
  </si>
  <si>
    <t>Data</t>
  </si>
  <si>
    <t xml:space="preserve">ROI </t>
  </si>
  <si>
    <t>Total Cost</t>
  </si>
  <si>
    <t>Annual Savings</t>
  </si>
  <si>
    <t>Total Benefit</t>
  </si>
  <si>
    <t>Operatives / year</t>
  </si>
  <si>
    <t>Operative Data</t>
  </si>
  <si>
    <t>Saving Hours</t>
  </si>
  <si>
    <t>Number of error-free queries with AI</t>
  </si>
  <si>
    <t>Queries handled with AI</t>
  </si>
  <si>
    <t>Number of errors prevented by AI</t>
  </si>
  <si>
    <t>Adoption</t>
  </si>
  <si>
    <t>Adoption Data</t>
  </si>
  <si>
    <t>Active employees</t>
  </si>
  <si>
    <t>Adoption rate (%)</t>
  </si>
  <si>
    <t>Recurring usage (users ≥ X queries/month)</t>
  </si>
  <si>
    <t>Compliance incidents per year</t>
  </si>
  <si>
    <t>Risk and Compliance</t>
  </si>
  <si>
    <t>Risk Data</t>
  </si>
  <si>
    <t>Internal policy compliance (%)</t>
  </si>
  <si>
    <t>Detected bias per year</t>
  </si>
  <si>
    <t>Explainability level (score or %)</t>
  </si>
  <si>
    <t>Auditable interactions per year</t>
  </si>
  <si>
    <t>Input</t>
  </si>
  <si>
    <t xml:space="preserve">Económicos </t>
  </si>
  <si>
    <t>Datos</t>
  </si>
  <si>
    <t>Operativos  / año</t>
  </si>
  <si>
    <t>Datos operativos</t>
  </si>
  <si>
    <t xml:space="preserve">Adopción </t>
  </si>
  <si>
    <t>Datos adopcion</t>
  </si>
  <si>
    <t>Riesgo y cumplimiento</t>
  </si>
  <si>
    <t>Datos riesgo</t>
  </si>
  <si>
    <t>Horas ahorradas</t>
  </si>
  <si>
    <t>Empleados activos</t>
  </si>
  <si>
    <t>Cumplimiento de políticas internas (%)</t>
  </si>
  <si>
    <t>Coste total</t>
  </si>
  <si>
    <t>Nº consultas sin errores con IA</t>
  </si>
  <si>
    <t>Tasa adopción (%)</t>
  </si>
  <si>
    <t>Bias detectado / año</t>
  </si>
  <si>
    <t>Ahorro anual</t>
  </si>
  <si>
    <t>Consultas con IA</t>
  </si>
  <si>
    <t>Uso recurrente (usuarios ≥ X consultas/mes)</t>
  </si>
  <si>
    <t>Nivel de explicabilidad (score o %)</t>
  </si>
  <si>
    <t>Beneficio total</t>
  </si>
  <si>
    <t>Values</t>
  </si>
  <si>
    <t>Description</t>
  </si>
  <si>
    <t>Clear concept</t>
  </si>
  <si>
    <t>Previous tools cost (€)</t>
  </si>
  <si>
    <t>Annual cost of eliminated tools</t>
  </si>
  <si>
    <t>Savings generated by retiring software or services that are no longer necessary due to AI implementation</t>
  </si>
  <si>
    <t>Current cost per error (€)</t>
  </si>
  <si>
    <t>Cost of correcting an internal error</t>
  </si>
  <si>
    <t>Cost of resolving an error generated in a manual process, including employee time, operational impact, and potential delays</t>
  </si>
  <si>
    <t>Total employees</t>
  </si>
  <si>
    <t>Total number of employees in the company</t>
  </si>
  <si>
    <t>Hourly cost (€)</t>
  </si>
  <si>
    <t>Average labor cost per employee per hour</t>
  </si>
  <si>
    <t>Average hourly employee cost based on a gross annual salary of approximately €31,500 / 1,750 hours</t>
  </si>
  <si>
    <t>Average number of queries per month</t>
  </si>
  <si>
    <t>Average employee time per query (minutes)</t>
  </si>
  <si>
    <t>Average time an employee takes to handle or resolve a query without AI assistance</t>
  </si>
  <si>
    <t>Number of queries per employee per month</t>
  </si>
  <si>
    <t>Queries per employee per month</t>
  </si>
  <si>
    <t>Average number of queries handled by each employee per month</t>
  </si>
  <si>
    <t>Manual error rate per year</t>
  </si>
  <si>
    <t>Query errors per employee per year</t>
  </si>
  <si>
    <t>Percentage of queries performed incorrectly by an employee in a year compared to the total activities executed</t>
  </si>
  <si>
    <t>Average hours spent on queries per month</t>
  </si>
  <si>
    <t>Average hours dedicated to query resolution</t>
  </si>
  <si>
    <t>Average monthly minutes spent handling queries per employee</t>
  </si>
  <si>
    <t>Total query time per month</t>
  </si>
  <si>
    <t>Total monthly hours spent on queries</t>
  </si>
  <si>
    <t>Query labor cost per month</t>
  </si>
  <si>
    <t>Monthly query-related labor cost</t>
  </si>
  <si>
    <t>AI adoption rate (%)</t>
  </si>
  <si>
    <t>Internal adoption rate (%)</t>
  </si>
  <si>
    <t>Percentage of employees who consistently use AI</t>
  </si>
  <si>
    <t>Processes handled through AI (%)</t>
  </si>
  <si>
    <t>Actual automation rate (%)</t>
  </si>
  <si>
    <t>Percentage of employee processes managed by AI among those who have adopted it</t>
  </si>
  <si>
    <t>Error reduction rate with AI (%)</t>
  </si>
  <si>
    <t>Percentage of errors prevented annually using AI</t>
  </si>
  <si>
    <t>Percentage of errors eliminated thanks to AI usage</t>
  </si>
  <si>
    <t>Annual AI system cost (€)</t>
  </si>
  <si>
    <t>Annual license cost per employee</t>
  </si>
  <si>
    <t>AI implementation cost (€)</t>
  </si>
  <si>
    <t>Initial system cost</t>
  </si>
  <si>
    <t>Investment in the AI solution, including installation, configuration, training, and any costs associated with initial deployment</t>
  </si>
  <si>
    <t>AI operating cost (€)</t>
  </si>
  <si>
    <t>Nº de errores evitados con IA</t>
  </si>
  <si>
    <t>Incidentes de cumplimiento / año</t>
  </si>
  <si>
    <t>Interacciones auditables /año</t>
  </si>
  <si>
    <t>Management and maintenance cost</t>
  </si>
  <si>
    <t>Cost of managing the AI system, including monitoring, support, adjustments, and administration</t>
  </si>
  <si>
    <t>Cost per query resolved with AI (€)</t>
  </si>
  <si>
    <t>Cost per query processed with AI</t>
  </si>
  <si>
    <t>Average cost associated with a query being handled through the AI solution</t>
  </si>
  <si>
    <t>Employees using AI</t>
  </si>
  <si>
    <t>Number of employees adopting AI</t>
  </si>
  <si>
    <t>Total annual AI system cost (€)</t>
  </si>
  <si>
    <t>Total annual licensing cost</t>
  </si>
  <si>
    <t>Annual cost of keeping the AI solution operational, including licenses, maintenance, technical support, and updates</t>
  </si>
  <si>
    <t>Number of queries per employee using AI per month</t>
  </si>
  <si>
    <t>Queries resolved through AI</t>
  </si>
  <si>
    <t>Total number of queries handled with AI per month</t>
  </si>
  <si>
    <t>Total number of queries from employees adopting AI</t>
  </si>
  <si>
    <t>Number of queries with errors prevented per year</t>
  </si>
  <si>
    <t>Queries resolved error-free per employee using AI</t>
  </si>
  <si>
    <t>Time reduction rate using AI (%)</t>
  </si>
  <si>
    <t>Percentage of time reduced per query using AI</t>
  </si>
  <si>
    <t>Measures the reduction in time required to resolve a query when AI is involved</t>
  </si>
  <si>
    <t>Average AI response time</t>
  </si>
  <si>
    <t>Average minutes for AI to analyze and respond to queries</t>
  </si>
  <si>
    <t>Query handling time reduction with AI</t>
  </si>
  <si>
    <t>Average reduction in employee time per query</t>
  </si>
  <si>
    <t>Average reduction in the time an employee needs to resolve a query when using AI</t>
  </si>
  <si>
    <t>Total automated response time per month</t>
  </si>
  <si>
    <t>Automated response time (minutes)</t>
  </si>
  <si>
    <t>Average time saved through automation per month</t>
  </si>
  <si>
    <t>Average minutes saved through automation</t>
  </si>
  <si>
    <t>Response traceability (%)</t>
  </si>
  <si>
    <t>Traceable data for every AI-generated interaction</t>
  </si>
  <si>
    <t>Percentage of traceable data generated by AI, critical for audits, quality assurance, and compliance</t>
  </si>
  <si>
    <t>Explainability (%)</t>
  </si>
  <si>
    <t>AI justification for a response</t>
  </si>
  <si>
    <t>Percentage of response justification, increasing user trust and reducing risk in regulated sectors</t>
  </si>
  <si>
    <t>Detected bias per month</t>
  </si>
  <si>
    <t>Presence of bias in AI responses</t>
  </si>
  <si>
    <t>Number of times the system generates responses that exhibit discrimination, bias, or other undesirable patterns</t>
  </si>
  <si>
    <t>Compliance incidents per month</t>
  </si>
  <si>
    <t>AI non-compliance with internal policies, regulations, or legal requirements</t>
  </si>
  <si>
    <t>Records any interaction that may pose a legal or compliance risk; a critical indicator for regulated organizations</t>
  </si>
  <si>
    <t>Auditable logs (%)</t>
  </si>
  <si>
    <t>Availability of complete and verifiable records</t>
  </si>
  <si>
    <t>Percentage of data for which the system maintains a clear, exportable, and reviewable history of every action.</t>
  </si>
  <si>
    <t>Concept</t>
  </si>
  <si>
    <t>Formula</t>
  </si>
  <si>
    <t>Annual efficiency savings</t>
  </si>
  <si>
    <t>Savings from avoided operational errors</t>
  </si>
  <si>
    <t>Savings from eliminated tools</t>
  </si>
  <si>
    <t>Total benefit</t>
  </si>
  <si>
    <t>Total AI system cost (Year 1)</t>
  </si>
  <si>
    <t>Total AI system cost (Year 2)</t>
  </si>
  <si>
    <t>ROI (Year 1)</t>
  </si>
  <si>
    <t>ROI (Year 2)</t>
  </si>
  <si>
    <t>Current number of queries per year</t>
  </si>
  <si>
    <t>AI-assisted queries per year</t>
  </si>
  <si>
    <t>Error-free queries resolved with AI per year</t>
  </si>
  <si>
    <t>Current query hours per year</t>
  </si>
  <si>
    <t>Hours saved through AI-assisted queries per year</t>
  </si>
  <si>
    <t>Total errors per year</t>
  </si>
  <si>
    <t>Errors avoided by using AI</t>
  </si>
  <si>
    <t>Auditable interactions</t>
  </si>
  <si>
    <t>Explainability level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</si>
</sst>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rial"/>
      <scheme val="minor"/>
    </font>
    <font>
      <b/>
      <sz val="12.0"/>
      <color rgb="FFFFFFFF"/>
      <name val="Roboto"/>
    </font>
    <font>
      <sz val="12.0"/>
      <color theme="1"/>
      <name val="Roboto"/>
    </font>
    <font>
      <sz val="12.0"/>
      <color rgb="FF344846"/>
      <name val="Roboto"/>
    </font>
    <font>
      <sz val="15.0"/>
      <color theme="1"/>
      <name val="Arial"/>
    </font>
    <font>
      <sz val="12.0"/>
      <color theme="1"/>
      <name val="Arial"/>
    </font>
    <font>
      <b/>
      <i/>
      <sz val="12.0"/>
      <color rgb="FFFFFFFF"/>
      <name val="Arial"/>
    </font>
    <font>
      <b/>
      <sz val="12.0"/>
      <color theme="1"/>
      <name val="Arial"/>
    </font>
    <font>
      <b/>
      <color theme="1"/>
      <name val="Arial"/>
    </font>
    <font>
      <sz val="12.0"/>
      <color theme="1"/>
      <name val="Arial"/>
      <scheme val="minor"/>
    </font>
    <font>
      <i/>
      <sz val="12.0"/>
      <color theme="1"/>
      <name val="Arial"/>
    </font>
    <font>
      <color theme="1"/>
      <name val="Arial"/>
    </font>
    <font>
      <color rgb="FFFFFFFF"/>
      <name val="Arial"/>
    </font>
    <font>
      <b/>
      <sz val="12.0"/>
      <color rgb="FF000000"/>
      <name val="Arial"/>
    </font>
    <font>
      <sz val="12.0"/>
      <color rgb="FFFFFFFF"/>
      <name val="Arial"/>
    </font>
    <font>
      <sz val="12.0"/>
      <color rgb="FFFFFFFF"/>
      <name val="Roboto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2" xfId="0" applyAlignment="1" applyBorder="1" applyFont="1" applyNumberFormat="1">
      <alignment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4" fillId="0" fontId="2" numFmtId="1" xfId="0" applyAlignment="1" applyBorder="1" applyFont="1" applyNumberForma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0" fillId="0" fontId="4" numFmtId="4" xfId="0" applyFont="1" applyNumberFormat="1"/>
    <xf borderId="5" fillId="0" fontId="3" numFmtId="0" xfId="0" applyAlignment="1" applyBorder="1" applyFont="1">
      <alignment readingOrder="0" shrinkToFit="0" vertical="center" wrapText="0"/>
    </xf>
    <xf borderId="5" fillId="0" fontId="2" numFmtId="1" xfId="0" applyAlignment="1" applyBorder="1" applyFont="1" applyNumberFormat="1">
      <alignment shrinkToFit="0" vertical="center" wrapText="0"/>
    </xf>
    <xf borderId="0" fillId="0" fontId="2" numFmtId="0" xfId="0" applyFont="1"/>
    <xf borderId="0" fillId="0" fontId="4" numFmtId="4" xfId="0" applyAlignment="1" applyFont="1" applyNumberFormat="1">
      <alignment horizontal="center"/>
    </xf>
    <xf borderId="6" fillId="0" fontId="1" numFmtId="0" xfId="0" applyAlignment="1" applyBorder="1" applyFont="1">
      <alignment horizontal="left" readingOrder="0" shrinkToFit="0" vertical="center" wrapText="0"/>
    </xf>
    <xf borderId="7" fillId="0" fontId="1" numFmtId="0" xfId="0" applyAlignment="1" applyBorder="1" applyFont="1">
      <alignment horizontal="left" readingOrder="0" shrinkToFit="0" vertical="center" wrapText="0"/>
    </xf>
    <xf borderId="0" fillId="0" fontId="5" numFmtId="0" xfId="0" applyFont="1"/>
    <xf borderId="8" fillId="0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3" fillId="0" fontId="2" numFmtId="1" xfId="0" applyAlignment="1" applyBorder="1" applyFont="1" applyNumberFormat="1">
      <alignment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7" numFmtId="1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8" numFmtId="1" xfId="0" applyAlignment="1" applyFont="1" applyNumberForma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1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11" numFmtId="1" xfId="0" applyAlignment="1" applyFont="1" applyNumberForma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0" fillId="0" fontId="5" numFmtId="0" xfId="0" applyFont="1"/>
    <xf borderId="0" fillId="0" fontId="1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2" xfId="0" applyAlignment="1" applyFont="1" applyNumberFormat="1">
      <alignment shrinkToFit="0" vertical="center" wrapText="0"/>
    </xf>
    <xf borderId="0" fillId="0" fontId="13" numFmtId="0" xfId="0" applyFont="1"/>
    <xf borderId="0" fillId="0" fontId="14" numFmtId="0" xfId="0" applyAlignment="1" applyFont="1">
      <alignment horizontal="left" readingOrder="0" shrinkToFit="0" vertical="center" wrapText="0"/>
    </xf>
    <xf borderId="3" fillId="0" fontId="14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2" fillId="0" fontId="5" numFmtId="1" xfId="0" applyAlignment="1" applyBorder="1" applyFont="1" applyNumberFormat="1">
      <alignment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10" fillId="0" fontId="5" numFmtId="1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horizontal="left" readingOrder="0" shrinkToFit="0" vertical="center" wrapText="0"/>
    </xf>
    <xf borderId="0" fillId="0" fontId="11" numFmtId="0" xfId="0" applyAlignment="1" applyFont="1">
      <alignment horizontal="left"/>
    </xf>
    <xf borderId="9" fillId="0" fontId="2" numFmtId="0" xfId="0" applyAlignment="1" applyBorder="1" applyFont="1">
      <alignment horizontal="left" readingOrder="0" shrinkToFit="0" vertical="center" wrapText="0"/>
    </xf>
    <xf borderId="11" fillId="0" fontId="5" numFmtId="1" xfId="0" applyAlignment="1" applyBorder="1" applyFont="1" applyNumberFormat="1">
      <alignment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10" fillId="0" fontId="2" numFmtId="1" xfId="0" applyAlignment="1" applyBorder="1" applyFont="1" applyNumberFormat="1">
      <alignment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11" fillId="0" fontId="2" numFmtId="1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12">
    <tableStyle count="4" pivot="0" name="KP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KPIs-style 6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KPIs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s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to Lo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to Locker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to Locker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ato Locker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1562100</xdr:colOff>
      <xdr:row>1</xdr:row>
      <xdr:rowOff>28575</xdr:rowOff>
    </xdr:from>
    <xdr:ext cx="1943100" cy="666750"/>
    <xdr:pic>
      <xdr:nvPicPr>
        <xdr:cNvPr id="0" name="image1.png" title="Gráfico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" displayName="KPIs" name="KPIs" id="1">
  <tableColumns count="2">
    <tableColumn name="Economics" id="1"/>
    <tableColumn name="Data" id="2"/>
  </tableColumns>
  <tableStyleInfo name="KPIs-style" showColumnStripes="0" showFirstColumn="1" showLastColumn="1" showRowStripes="1"/>
</table>
</file>

<file path=xl/tables/table2.xml><?xml version="1.0" encoding="utf-8"?>
<table xmlns="http://schemas.openxmlformats.org/spreadsheetml/2006/main" ref="A7:B11" displayName="Operative" name="Operative" id="2">
  <tableColumns count="2">
    <tableColumn name="Operatives / year" id="1"/>
    <tableColumn name="Operative Data" id="2"/>
  </tableColumns>
  <tableStyleInfo name="KPIs-style 2" showColumnStripes="0" showFirstColumn="1" showLastColumn="1" showRowStripes="1"/>
</table>
</file>

<file path=xl/tables/table3.xml><?xml version="1.0" encoding="utf-8"?>
<table xmlns="http://schemas.openxmlformats.org/spreadsheetml/2006/main" ref="A13:B17" displayName="Adoption" name="Adoption" id="3">
  <tableColumns count="2">
    <tableColumn name="Adoption" id="1"/>
    <tableColumn name="Adoption Data" id="2"/>
  </tableColumns>
  <tableStyleInfo name="KPIs-style 3" showColumnStripes="0" showFirstColumn="1" showLastColumn="1" showRowStripes="1"/>
</table>
</file>

<file path=xl/tables/table4.xml><?xml version="1.0" encoding="utf-8"?>
<table xmlns="http://schemas.openxmlformats.org/spreadsheetml/2006/main" ref="A19:B23" displayName="Risk_and_Compliance" name="Risk_and_Compliance" id="4">
  <tableColumns count="2">
    <tableColumn name="Risk and Compliance" id="1"/>
    <tableColumn name="Risk Data" id="2"/>
  </tableColumns>
  <tableStyleInfo name="KPIs-style 4" showColumnStripes="0" showFirstColumn="1" showLastColumn="1" showRowStripes="1"/>
</table>
</file>

<file path=xl/tables/table5.xml><?xml version="1.0" encoding="utf-8"?>
<table xmlns="http://schemas.openxmlformats.org/spreadsheetml/2006/main" ref="A28:D65" displayName="Analysed_Data" name="Analysed_Data" id="5">
  <tableColumns count="4">
    <tableColumn name="Input" id="1"/>
    <tableColumn name="Values" id="2"/>
    <tableColumn name="Description" id="3"/>
    <tableColumn name="Clear concept" id="4"/>
  </tableColumns>
  <tableStyleInfo name="KPIs-style 5" showColumnStripes="0" showFirstColumn="1" showLastColumn="1" showRowStripes="1"/>
</table>
</file>

<file path=xl/tables/table6.xml><?xml version="1.0" encoding="utf-8"?>
<table xmlns="http://schemas.openxmlformats.org/spreadsheetml/2006/main" totalsRowCount="1" ref="A71:B79" displayName="Economic_Calculations" name="Economic_Calculations" id="6">
  <tableColumns count="2">
    <tableColumn totalsRowLabel="ROI (Year 2)" name="Concept" id="1"/>
    <tableColumn totalsRowFunction="custom" name="Formula" id="2"/>
  </tableColumns>
  <tableStyleInfo name="KPIs-style 6" showColumnStripes="0" showFirstColumn="1" showLastColumn="1" showRowStripes="1"/>
</table>
</file>

<file path=xl/tables/table7.xml><?xml version="1.0" encoding="utf-8"?>
<table xmlns="http://schemas.openxmlformats.org/spreadsheetml/2006/main" ref="A83:B91" displayName="Operative_Calculations" name="Operative_Calculations" id="7">
  <tableColumns count="2">
    <tableColumn name="Adoption" id="1"/>
    <tableColumn name="Formula" id="2"/>
  </tableColumns>
  <tableStyleInfo name="KPIs-style 7" showColumnStripes="0" showFirstColumn="1" showLastColumn="1" showRowStripes="1"/>
</table>
</file>

<file path=xl/tables/table8.xml><?xml version="1.0" encoding="utf-8"?>
<table xmlns="http://schemas.openxmlformats.org/spreadsheetml/2006/main" ref="A94:B99" displayName="Audit_and_Compliance_Calculations" name="Audit_and_Compliance_Calculations" id="8">
  <tableColumns count="2">
    <tableColumn name="Risk and Compliance" id="1"/>
    <tableColumn name="Formula" id="2"/>
  </tableColumns>
  <tableStyleInfo name="KPIs-style 8" showColumnStripes="0" showFirstColumn="1" showLastColumn="1" showRowStripes="1"/>
</table>
</file>

<file path=xl/tables/table9.xml><?xml version="1.0" encoding="utf-8"?>
<table xmlns="http://schemas.openxmlformats.org/spreadsheetml/2006/main" ref="A1:B5" displayName="Table_5" name="Table_5" id="9">
  <tableColumns count="2">
    <tableColumn name="Económicos " id="1"/>
    <tableColumn name="Datos" id="2"/>
  </tableColumns>
  <tableStyleInfo name="Formato Locker-style" showColumnStripes="0" showFirstColumn="1" showLastColumn="1" showRowStripes="1"/>
</table>
</file>

<file path=xl/tables/table10.xml><?xml version="1.0" encoding="utf-8"?>
<table xmlns="http://schemas.openxmlformats.org/spreadsheetml/2006/main" ref="C1:D5" displayName="Table_6" name="Table_6" id="10">
  <tableColumns count="2">
    <tableColumn name="Operativos  / año" id="1"/>
    <tableColumn name="Datos operativos" id="2"/>
  </tableColumns>
  <tableStyleInfo name="Formato Locker-style 2" showColumnStripes="0" showFirstColumn="1" showLastColumn="1" showRowStripes="1"/>
</table>
</file>

<file path=xl/tables/table11.xml><?xml version="1.0" encoding="utf-8"?>
<table xmlns="http://schemas.openxmlformats.org/spreadsheetml/2006/main" ref="E1:F5" displayName="Table_7" name="Table_7" id="11">
  <tableColumns count="2">
    <tableColumn name="Adopción " id="1"/>
    <tableColumn name="Datos adopcion" id="2"/>
  </tableColumns>
  <tableStyleInfo name="Formato Locker-style 3" showColumnStripes="0" showFirstColumn="1" showLastColumn="1" showRowStripes="1"/>
</table>
</file>

<file path=xl/tables/table12.xml><?xml version="1.0" encoding="utf-8"?>
<table xmlns="http://schemas.openxmlformats.org/spreadsheetml/2006/main" ref="G1:H5" displayName="Table_8" name="Table_8" id="12">
  <tableColumns count="2">
    <tableColumn name="Riesgo y cumplimiento" id="1"/>
    <tableColumn name="Datos riesgo" id="2"/>
  </tableColumns>
  <tableStyleInfo name="Formato Locker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44846"/>
      </a:dk1>
      <a:lt1>
        <a:srgbClr val="FFFFFF"/>
      </a:lt1>
      <a:dk2>
        <a:srgbClr val="344846"/>
      </a:dk2>
      <a:lt2>
        <a:srgbClr val="FFFFFF"/>
      </a:lt2>
      <a:accent1>
        <a:srgbClr val="00535C"/>
      </a:accent1>
      <a:accent2>
        <a:srgbClr val="CD840E"/>
      </a:accent2>
      <a:accent3>
        <a:srgbClr val="9F545C"/>
      </a:accent3>
      <a:accent4>
        <a:srgbClr val="D9C1AD"/>
      </a:accent4>
      <a:accent5>
        <a:srgbClr val="D5E8AC"/>
      </a:accent5>
      <a:accent6>
        <a:srgbClr val="3862B5"/>
      </a:accent6>
      <a:hlink>
        <a:srgbClr val="9F545C"/>
      </a:hlink>
      <a:folHlink>
        <a:srgbClr val="9F545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5.5"/>
    <col customWidth="1" min="2" max="2" width="19.38"/>
    <col customWidth="1" min="3" max="3" width="66.75"/>
    <col customWidth="1" min="4" max="4" width="118.5"/>
    <col customWidth="1" min="5" max="5" width="15.0"/>
    <col customWidth="1" min="6" max="6" width="35.25"/>
  </cols>
  <sheetData>
    <row r="1">
      <c r="A1" s="1" t="s">
        <v>0</v>
      </c>
      <c r="B1" s="2" t="s">
        <v>1</v>
      </c>
    </row>
    <row r="2">
      <c r="A2" s="3" t="s">
        <v>2</v>
      </c>
      <c r="B2" s="4">
        <f>KPIs!$B$78</f>
        <v>0.1734693878</v>
      </c>
    </row>
    <row r="3">
      <c r="A3" s="5" t="s">
        <v>3</v>
      </c>
      <c r="B3" s="6">
        <f>B76</f>
        <v>20384</v>
      </c>
    </row>
    <row r="4" ht="18.0" customHeight="1">
      <c r="A4" s="5" t="s">
        <v>4</v>
      </c>
      <c r="B4" s="7">
        <f>sum(B72:B74)</f>
        <v>23920</v>
      </c>
      <c r="D4" s="8"/>
    </row>
    <row r="5">
      <c r="A5" s="9" t="s">
        <v>5</v>
      </c>
      <c r="B5" s="10">
        <f>B75</f>
        <v>3536</v>
      </c>
    </row>
    <row r="6" ht="27.0" customHeight="1">
      <c r="A6" s="11"/>
      <c r="B6" s="11"/>
      <c r="C6" s="12" t="str">
        <f>"ROI "&amp;TEXT(KPIs!$B$78,"0%")&amp;" — Return per €1 invested "&amp;TEXT(0+KPIs!$B$78,"0.00")&amp;" €."</f>
        <v>ROI 17% — Return per €1 invested 0,17 €.</v>
      </c>
    </row>
    <row r="7">
      <c r="A7" s="13" t="s">
        <v>6</v>
      </c>
      <c r="B7" s="14" t="s">
        <v>7</v>
      </c>
      <c r="C7" s="15"/>
    </row>
    <row r="8">
      <c r="A8" s="16" t="s">
        <v>8</v>
      </c>
      <c r="B8" s="6">
        <f>B89</f>
        <v>560</v>
      </c>
      <c r="C8" s="15"/>
    </row>
    <row r="9">
      <c r="A9" s="17" t="s">
        <v>9</v>
      </c>
      <c r="B9" s="6">
        <f>B87</f>
        <v>7680</v>
      </c>
      <c r="C9" s="15"/>
    </row>
    <row r="10">
      <c r="A10" s="17" t="s">
        <v>10</v>
      </c>
      <c r="B10" s="6">
        <f>B86</f>
        <v>9600</v>
      </c>
      <c r="C10" s="15"/>
    </row>
    <row r="11">
      <c r="A11" s="17" t="s">
        <v>11</v>
      </c>
      <c r="B11" s="10">
        <f>B91</f>
        <v>128</v>
      </c>
      <c r="C11" s="15"/>
    </row>
    <row r="12" ht="30.0" customHeight="1">
      <c r="A12" s="11"/>
      <c r="B12" s="11"/>
      <c r="C12" s="15"/>
    </row>
    <row r="13" ht="15.75" customHeight="1">
      <c r="A13" s="1" t="s">
        <v>12</v>
      </c>
      <c r="B13" s="2" t="s">
        <v>13</v>
      </c>
      <c r="C13" s="15"/>
    </row>
    <row r="14" ht="15.75" customHeight="1">
      <c r="A14" s="18" t="s">
        <v>14</v>
      </c>
      <c r="B14" s="19">
        <f>B49</f>
        <v>80</v>
      </c>
      <c r="C14" s="15"/>
    </row>
    <row r="15" ht="15.75" customHeight="1">
      <c r="A15" s="20" t="s">
        <v>15</v>
      </c>
      <c r="B15" s="6">
        <f>B41</f>
        <v>40</v>
      </c>
      <c r="C15" s="15"/>
    </row>
    <row r="16" ht="15.75" customHeight="1">
      <c r="A16" s="20" t="s">
        <v>16</v>
      </c>
      <c r="B16" s="6">
        <f>B34</f>
        <v>20</v>
      </c>
      <c r="C16" s="15"/>
      <c r="D16" s="15"/>
    </row>
    <row r="17" ht="15.75" customHeight="1">
      <c r="A17" s="21" t="s">
        <v>17</v>
      </c>
      <c r="B17" s="10">
        <f>B96</f>
        <v>192</v>
      </c>
      <c r="C17" s="15"/>
      <c r="D17" s="15"/>
    </row>
    <row r="18" ht="31.5" customHeight="1">
      <c r="A18" s="11"/>
      <c r="B18" s="11"/>
      <c r="C18" s="15"/>
      <c r="D18" s="15"/>
    </row>
    <row r="19" ht="15.75" customHeight="1">
      <c r="A19" s="1" t="s">
        <v>18</v>
      </c>
      <c r="B19" s="2" t="s">
        <v>19</v>
      </c>
      <c r="C19" s="15"/>
      <c r="D19" s="15"/>
    </row>
    <row r="20" ht="15.75" customHeight="1">
      <c r="A20" s="18" t="s">
        <v>20</v>
      </c>
      <c r="B20" s="19">
        <f>B99</f>
        <v>98</v>
      </c>
      <c r="C20" s="15"/>
      <c r="D20" s="15"/>
    </row>
    <row r="21" ht="15.75" customHeight="1">
      <c r="A21" s="20" t="s">
        <v>21</v>
      </c>
      <c r="B21" s="6">
        <f t="shared" ref="B21:B23" si="1">B97</f>
        <v>144</v>
      </c>
      <c r="C21" s="15"/>
      <c r="D21" s="15"/>
    </row>
    <row r="22" ht="15.75" customHeight="1">
      <c r="A22" s="20" t="s">
        <v>22</v>
      </c>
      <c r="B22" s="6">
        <f t="shared" si="1"/>
        <v>70</v>
      </c>
      <c r="C22" s="15"/>
      <c r="D22" s="15"/>
    </row>
    <row r="23" ht="15.75" customHeight="1">
      <c r="A23" s="21" t="s">
        <v>23</v>
      </c>
      <c r="B23" s="10">
        <f t="shared" si="1"/>
        <v>98</v>
      </c>
      <c r="C23" s="15"/>
      <c r="D23" s="15"/>
    </row>
    <row r="24" ht="15.75" customHeight="1">
      <c r="C24" s="15"/>
      <c r="D24" s="15"/>
    </row>
    <row r="25" ht="15.75" customHeight="1">
      <c r="C25" s="15"/>
      <c r="D25" s="15"/>
    </row>
    <row r="26" ht="15.75" customHeight="1">
      <c r="C26" s="15"/>
      <c r="D26" s="15"/>
    </row>
    <row r="27" ht="15.75" customHeight="1">
      <c r="A27" s="15"/>
      <c r="B27" s="15"/>
      <c r="C27" s="15"/>
      <c r="D27" s="15"/>
    </row>
    <row r="28" ht="15.75" customHeight="1">
      <c r="A28" s="24" t="s">
        <v>24</v>
      </c>
      <c r="B28" s="25" t="s">
        <v>45</v>
      </c>
      <c r="C28" s="24" t="s">
        <v>46</v>
      </c>
      <c r="D28" s="24" t="s">
        <v>47</v>
      </c>
    </row>
    <row r="29" ht="15.75" customHeight="1">
      <c r="A29" s="26" t="s">
        <v>48</v>
      </c>
      <c r="B29" s="27">
        <v>10000.0</v>
      </c>
      <c r="C29" s="26" t="s">
        <v>49</v>
      </c>
      <c r="D29" s="28" t="s">
        <v>50</v>
      </c>
    </row>
    <row r="30" ht="15.75" customHeight="1">
      <c r="A30" s="26" t="s">
        <v>51</v>
      </c>
      <c r="B30" s="27">
        <v>30.0</v>
      </c>
      <c r="C30" s="26" t="s">
        <v>52</v>
      </c>
      <c r="D30" s="29" t="s">
        <v>53</v>
      </c>
    </row>
    <row r="31" ht="15.75" customHeight="1">
      <c r="A31" s="26" t="s">
        <v>54</v>
      </c>
      <c r="B31" s="30">
        <v>200.0</v>
      </c>
      <c r="C31" s="26" t="s">
        <v>55</v>
      </c>
      <c r="D31" s="31"/>
    </row>
    <row r="32" ht="15.75" customHeight="1">
      <c r="A32" s="26" t="s">
        <v>56</v>
      </c>
      <c r="B32" s="27">
        <v>18.0</v>
      </c>
      <c r="C32" s="26" t="s">
        <v>57</v>
      </c>
      <c r="D32" s="32" t="s">
        <v>58</v>
      </c>
    </row>
    <row r="33" ht="15.75" customHeight="1">
      <c r="A33" s="33" t="s">
        <v>59</v>
      </c>
      <c r="B33" s="27">
        <v>5.0</v>
      </c>
      <c r="C33" s="33" t="s">
        <v>60</v>
      </c>
      <c r="D33" s="32" t="s">
        <v>61</v>
      </c>
    </row>
    <row r="34" ht="15.75" customHeight="1">
      <c r="A34" s="33" t="s">
        <v>62</v>
      </c>
      <c r="B34" s="27">
        <v>20.0</v>
      </c>
      <c r="C34" s="33" t="s">
        <v>63</v>
      </c>
      <c r="D34" s="32" t="s">
        <v>64</v>
      </c>
    </row>
    <row r="35" ht="15.75" customHeight="1">
      <c r="A35" s="34"/>
      <c r="C35" s="35"/>
      <c r="D35" s="35"/>
    </row>
    <row r="36">
      <c r="A36" s="36" t="s">
        <v>65</v>
      </c>
      <c r="B36" s="37">
        <f>B34*0.1</f>
        <v>2</v>
      </c>
      <c r="C36" s="32" t="s">
        <v>66</v>
      </c>
      <c r="D36" s="32" t="s">
        <v>67</v>
      </c>
    </row>
    <row r="37">
      <c r="A37" s="33" t="s">
        <v>68</v>
      </c>
      <c r="B37" s="37">
        <f>B34*B33/60</f>
        <v>1.666666667</v>
      </c>
      <c r="C37" s="33" t="s">
        <v>69</v>
      </c>
      <c r="D37" s="32" t="s">
        <v>70</v>
      </c>
    </row>
    <row r="38" ht="15.75" customHeight="1">
      <c r="A38" s="26" t="s">
        <v>71</v>
      </c>
      <c r="B38" s="37">
        <f>B33*B34*B31/60</f>
        <v>333.3333333</v>
      </c>
      <c r="C38" s="26" t="s">
        <v>72</v>
      </c>
      <c r="D38" s="38"/>
    </row>
    <row r="39" ht="15.75" customHeight="1">
      <c r="A39" s="33" t="s">
        <v>73</v>
      </c>
      <c r="B39" s="37">
        <f>B38*B32</f>
        <v>6000</v>
      </c>
      <c r="C39" s="33" t="s">
        <v>74</v>
      </c>
      <c r="D39" s="38"/>
    </row>
    <row r="40" ht="15.75" customHeight="1">
      <c r="A40" s="34"/>
      <c r="B40" s="39"/>
      <c r="C40" s="35"/>
      <c r="D40" s="35"/>
    </row>
    <row r="41" ht="15.75" customHeight="1">
      <c r="A41" s="33" t="s">
        <v>75</v>
      </c>
      <c r="B41" s="27">
        <v>40.0</v>
      </c>
      <c r="C41" s="33" t="s">
        <v>76</v>
      </c>
      <c r="D41" s="32" t="s">
        <v>77</v>
      </c>
    </row>
    <row r="42" ht="15.75" customHeight="1">
      <c r="A42" s="36" t="s">
        <v>78</v>
      </c>
      <c r="B42" s="27">
        <v>50.0</v>
      </c>
      <c r="C42" s="32" t="s">
        <v>79</v>
      </c>
      <c r="D42" s="32" t="s">
        <v>80</v>
      </c>
    </row>
    <row r="43" ht="15.75" customHeight="1">
      <c r="A43" s="33" t="s">
        <v>81</v>
      </c>
      <c r="B43" s="27">
        <v>80.0</v>
      </c>
      <c r="C43" s="33" t="s">
        <v>82</v>
      </c>
      <c r="D43" s="32" t="s">
        <v>83</v>
      </c>
    </row>
    <row r="44" ht="15.75" customHeight="1">
      <c r="A44" s="33" t="s">
        <v>84</v>
      </c>
      <c r="B44" s="27">
        <v>150.0</v>
      </c>
      <c r="C44" s="33" t="s">
        <v>85</v>
      </c>
      <c r="D44" s="35"/>
    </row>
    <row r="45" ht="15.75" customHeight="1">
      <c r="A45" s="33" t="s">
        <v>86</v>
      </c>
      <c r="B45" s="27">
        <v>6000.0</v>
      </c>
      <c r="C45" s="33" t="s">
        <v>87</v>
      </c>
      <c r="D45" s="32" t="s">
        <v>88</v>
      </c>
    </row>
    <row r="46" ht="15.75" customHeight="1">
      <c r="A46" s="26" t="s">
        <v>89</v>
      </c>
      <c r="B46" s="27">
        <v>2000.0</v>
      </c>
      <c r="C46" s="26" t="s">
        <v>93</v>
      </c>
      <c r="D46" s="32" t="s">
        <v>94</v>
      </c>
    </row>
    <row r="47" ht="15.75" customHeight="1">
      <c r="A47" s="26" t="s">
        <v>95</v>
      </c>
      <c r="B47" s="27">
        <v>0.04</v>
      </c>
      <c r="C47" s="26" t="s">
        <v>96</v>
      </c>
      <c r="D47" s="32" t="s">
        <v>97</v>
      </c>
    </row>
    <row r="48" ht="15.75" customHeight="1">
      <c r="A48" s="34"/>
      <c r="C48" s="35"/>
      <c r="D48" s="35"/>
    </row>
    <row r="49" ht="15.75" customHeight="1">
      <c r="A49" s="26" t="s">
        <v>98</v>
      </c>
      <c r="B49" s="37">
        <f>B31*B41%</f>
        <v>80</v>
      </c>
      <c r="C49" s="26" t="s">
        <v>99</v>
      </c>
      <c r="D49" s="35"/>
    </row>
    <row r="50" ht="15.75" customHeight="1">
      <c r="A50" s="33" t="s">
        <v>100</v>
      </c>
      <c r="B50" s="37">
        <f>B44*B49</f>
        <v>12000</v>
      </c>
      <c r="C50" s="33" t="s">
        <v>101</v>
      </c>
      <c r="D50" s="32" t="s">
        <v>102</v>
      </c>
    </row>
    <row r="51" ht="15.75" customHeight="1">
      <c r="A51" s="36" t="s">
        <v>103</v>
      </c>
      <c r="B51" s="37">
        <f>B34*B42%</f>
        <v>10</v>
      </c>
      <c r="C51" s="32" t="s">
        <v>104</v>
      </c>
      <c r="D51" s="35"/>
    </row>
    <row r="52" ht="15.75" customHeight="1">
      <c r="A52" s="33" t="s">
        <v>105</v>
      </c>
      <c r="B52" s="37">
        <f>B51*B49</f>
        <v>800</v>
      </c>
      <c r="C52" s="33" t="s">
        <v>106</v>
      </c>
      <c r="D52" s="35"/>
    </row>
    <row r="53" ht="15.75" customHeight="1">
      <c r="A53" s="26" t="s">
        <v>107</v>
      </c>
      <c r="B53" s="37">
        <f>B36*B43%</f>
        <v>1.6</v>
      </c>
      <c r="C53" s="26" t="s">
        <v>108</v>
      </c>
      <c r="D53" s="38"/>
    </row>
    <row r="54" ht="15.75" customHeight="1">
      <c r="A54" s="34"/>
      <c r="C54" s="35"/>
      <c r="D54" s="35"/>
    </row>
    <row r="55" ht="15.75" customHeight="1">
      <c r="A55" s="33" t="s">
        <v>109</v>
      </c>
      <c r="B55" s="27">
        <v>70.0</v>
      </c>
      <c r="C55" s="33" t="s">
        <v>110</v>
      </c>
      <c r="D55" s="32" t="s">
        <v>111</v>
      </c>
    </row>
    <row r="56" ht="15.75" customHeight="1">
      <c r="A56" s="33" t="s">
        <v>112</v>
      </c>
      <c r="B56" s="27">
        <v>0.6</v>
      </c>
      <c r="C56" s="33" t="s">
        <v>113</v>
      </c>
      <c r="D56" s="38"/>
    </row>
    <row r="57" ht="15.75" customHeight="1">
      <c r="A57" s="33" t="s">
        <v>114</v>
      </c>
      <c r="B57" s="37">
        <f>B33*B55%</f>
        <v>3.5</v>
      </c>
      <c r="C57" s="33" t="s">
        <v>115</v>
      </c>
      <c r="D57" s="32" t="s">
        <v>116</v>
      </c>
    </row>
    <row r="58" ht="15.75" customHeight="1">
      <c r="A58" s="36" t="s">
        <v>117</v>
      </c>
      <c r="B58" s="37">
        <f>B34*(B33-B57)*B42%*B41%</f>
        <v>6</v>
      </c>
      <c r="C58" s="32" t="s">
        <v>118</v>
      </c>
      <c r="D58" s="38"/>
    </row>
    <row r="59" ht="15.75" customHeight="1">
      <c r="A59" s="33" t="s">
        <v>119</v>
      </c>
      <c r="B59" s="37">
        <f>(B51*B33)-B58</f>
        <v>44</v>
      </c>
      <c r="C59" s="33" t="s">
        <v>120</v>
      </c>
      <c r="D59" s="38"/>
    </row>
    <row r="60" ht="15.75" customHeight="1">
      <c r="A60" s="34"/>
      <c r="C60" s="35"/>
      <c r="D60" s="35"/>
    </row>
    <row r="61" ht="15.75" customHeight="1">
      <c r="A61" s="33" t="s">
        <v>121</v>
      </c>
      <c r="B61" s="27">
        <v>85.0</v>
      </c>
      <c r="C61" s="33" t="s">
        <v>122</v>
      </c>
      <c r="D61" s="32" t="s">
        <v>123</v>
      </c>
    </row>
    <row r="62" ht="15.75" customHeight="1">
      <c r="A62" s="33" t="s">
        <v>124</v>
      </c>
      <c r="B62" s="27">
        <v>70.0</v>
      </c>
      <c r="C62" s="33" t="s">
        <v>125</v>
      </c>
      <c r="D62" s="32" t="s">
        <v>126</v>
      </c>
    </row>
    <row r="63" ht="15.75" customHeight="1">
      <c r="A63" s="33" t="s">
        <v>127</v>
      </c>
      <c r="B63" s="27">
        <f>B52*1.5%</f>
        <v>12</v>
      </c>
      <c r="C63" s="33" t="s">
        <v>128</v>
      </c>
      <c r="D63" s="32" t="s">
        <v>129</v>
      </c>
    </row>
    <row r="64" ht="15.75" customHeight="1">
      <c r="A64" s="33" t="s">
        <v>130</v>
      </c>
      <c r="B64" s="27">
        <f>B52*2%</f>
        <v>16</v>
      </c>
      <c r="C64" s="33" t="s">
        <v>131</v>
      </c>
      <c r="D64" s="32" t="s">
        <v>132</v>
      </c>
    </row>
    <row r="65" ht="15.75" customHeight="1">
      <c r="A65" s="36" t="s">
        <v>133</v>
      </c>
      <c r="B65" s="27">
        <v>95.0</v>
      </c>
      <c r="C65" s="32" t="s">
        <v>134</v>
      </c>
      <c r="D65" s="32" t="s">
        <v>135</v>
      </c>
    </row>
    <row r="66" ht="15.75" customHeight="1">
      <c r="D66" s="41"/>
    </row>
    <row r="67" ht="15.75" customHeight="1">
      <c r="D67" s="41"/>
    </row>
    <row r="68" ht="15.75" customHeight="1">
      <c r="D68" s="41"/>
    </row>
    <row r="69" ht="15.75" customHeight="1">
      <c r="A69" s="15"/>
    </row>
    <row r="70" ht="15.75" customHeight="1">
      <c r="A70" s="15"/>
    </row>
    <row r="71" ht="15.75" customHeight="1">
      <c r="A71" s="42" t="s">
        <v>136</v>
      </c>
      <c r="B71" s="42" t="s">
        <v>137</v>
      </c>
    </row>
    <row r="72" ht="15.75" customHeight="1">
      <c r="A72" s="43" t="s">
        <v>138</v>
      </c>
      <c r="B72" s="44">
        <f>B89*B32</f>
        <v>10080</v>
      </c>
    </row>
    <row r="73" ht="15.75" customHeight="1">
      <c r="A73" s="43" t="s">
        <v>139</v>
      </c>
      <c r="B73" s="44">
        <f>B30*B91</f>
        <v>3840</v>
      </c>
    </row>
    <row r="74" ht="15.75" customHeight="1">
      <c r="A74" s="43" t="s">
        <v>140</v>
      </c>
      <c r="B74" s="39">
        <f>B29</f>
        <v>10000</v>
      </c>
    </row>
    <row r="75" ht="15.75" customHeight="1">
      <c r="A75" s="43" t="s">
        <v>141</v>
      </c>
      <c r="B75" s="39">
        <f>SUM(B72:B74)-B76</f>
        <v>3536</v>
      </c>
    </row>
    <row r="76" ht="15.75" customHeight="1">
      <c r="A76" s="43" t="s">
        <v>142</v>
      </c>
      <c r="B76" s="39">
        <f>B50+B45+B46+B86*B47</f>
        <v>20384</v>
      </c>
    </row>
    <row r="77" ht="15.75" customHeight="1">
      <c r="A77" s="43" t="s">
        <v>143</v>
      </c>
      <c r="B77" s="39">
        <f>B50+B46+B86*B47</f>
        <v>14384</v>
      </c>
    </row>
    <row r="78" ht="15.75" customHeight="1">
      <c r="A78" s="43" t="s">
        <v>144</v>
      </c>
      <c r="B78" s="45">
        <f>B75/B76</f>
        <v>0.1734693878</v>
      </c>
    </row>
    <row r="79" ht="15.75" customHeight="1">
      <c r="A79" s="43" t="s">
        <v>145</v>
      </c>
      <c r="B79" s="45">
        <f>B75/B77</f>
        <v>0.2458286986</v>
      </c>
    </row>
    <row r="80" ht="15.75" customHeight="1">
      <c r="A80" s="46"/>
      <c r="B80" s="46"/>
      <c r="C80" s="46"/>
      <c r="D80" s="46"/>
      <c r="E80" s="46"/>
      <c r="F80" s="46"/>
    </row>
    <row r="81" ht="15.75" customHeight="1">
      <c r="A81" s="46"/>
      <c r="B81" s="46"/>
      <c r="C81" s="46"/>
      <c r="D81" s="46"/>
      <c r="E81" s="46"/>
      <c r="F81" s="46"/>
    </row>
    <row r="82" ht="15.75" customHeight="1">
      <c r="A82" s="15"/>
    </row>
    <row r="83" ht="15.75" customHeight="1">
      <c r="A83" s="47" t="s">
        <v>12</v>
      </c>
      <c r="B83" s="48" t="s">
        <v>137</v>
      </c>
    </row>
    <row r="84" ht="15.75" customHeight="1">
      <c r="A84" s="49" t="s">
        <v>99</v>
      </c>
      <c r="B84" s="50">
        <f>B49</f>
        <v>80</v>
      </c>
    </row>
    <row r="85" ht="15.75" customHeight="1">
      <c r="A85" s="51" t="s">
        <v>146</v>
      </c>
      <c r="B85" s="52">
        <f>B34*12*B84</f>
        <v>19200</v>
      </c>
    </row>
    <row r="86" ht="15.75" customHeight="1">
      <c r="A86" s="53" t="s">
        <v>147</v>
      </c>
      <c r="B86" s="52">
        <f t="shared" ref="B86:B87" si="2">B85*B42%</f>
        <v>9600</v>
      </c>
    </row>
    <row r="87" ht="15.75" customHeight="1">
      <c r="A87" s="51" t="s">
        <v>148</v>
      </c>
      <c r="B87" s="52">
        <f t="shared" si="2"/>
        <v>7680</v>
      </c>
    </row>
    <row r="88" ht="15.75" customHeight="1">
      <c r="A88" s="51" t="s">
        <v>149</v>
      </c>
      <c r="B88" s="52">
        <f>B37*B84*12*B42%</f>
        <v>800</v>
      </c>
    </row>
    <row r="89" ht="15.75" customHeight="1">
      <c r="A89" s="53" t="s">
        <v>150</v>
      </c>
      <c r="B89" s="52">
        <f>B88*B55%</f>
        <v>560</v>
      </c>
    </row>
    <row r="90" ht="15.75" customHeight="1">
      <c r="A90" s="54" t="s">
        <v>151</v>
      </c>
      <c r="B90" s="52">
        <f>B84*B36</f>
        <v>160</v>
      </c>
      <c r="C90" s="55"/>
      <c r="D90" s="55"/>
    </row>
    <row r="91" ht="15.75" customHeight="1">
      <c r="A91" s="56" t="s">
        <v>152</v>
      </c>
      <c r="B91" s="57">
        <f>B90*B43%</f>
        <v>128</v>
      </c>
      <c r="C91" s="55"/>
      <c r="D91" s="55"/>
    </row>
    <row r="92" ht="23.25" customHeight="1">
      <c r="C92" s="55"/>
      <c r="D92" s="55"/>
    </row>
    <row r="93" ht="15.75" customHeight="1"/>
    <row r="94" ht="15.75" customHeight="1">
      <c r="A94" s="58" t="s">
        <v>18</v>
      </c>
      <c r="B94" s="58" t="s">
        <v>137</v>
      </c>
    </row>
    <row r="95" ht="15.75" customHeight="1">
      <c r="A95" s="59" t="s">
        <v>153</v>
      </c>
      <c r="B95" s="60">
        <f>B86*B65%</f>
        <v>9120</v>
      </c>
    </row>
    <row r="96" ht="15.75" customHeight="1">
      <c r="A96" s="59" t="s">
        <v>17</v>
      </c>
      <c r="B96" s="60">
        <f>B64*12</f>
        <v>192</v>
      </c>
    </row>
    <row r="97" ht="15.75" customHeight="1">
      <c r="A97" s="59" t="s">
        <v>127</v>
      </c>
      <c r="B97" s="60">
        <f>B63*12</f>
        <v>144</v>
      </c>
    </row>
    <row r="98" ht="15.75" customHeight="1">
      <c r="A98" s="59" t="s">
        <v>154</v>
      </c>
      <c r="B98" s="60">
        <f>B62</f>
        <v>70</v>
      </c>
    </row>
    <row r="99" ht="15.75" customHeight="1">
      <c r="A99" s="61" t="s">
        <v>20</v>
      </c>
      <c r="B99" s="62">
        <f>(B86-B96)/B86*100</f>
        <v>98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custom" allowBlank="1" showDropDown="1" sqref="B84:B91 B95:B99">
      <formula1/>
    </dataValidation>
  </dataValidations>
  <printOptions/>
  <pageMargins bottom="1.0" footer="0.0" header="0.0" left="0.75" right="0.75" top="1.0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0.75"/>
    <col customWidth="1" min="2" max="2" width="12.63"/>
    <col customWidth="1" min="3" max="3" width="28.63"/>
    <col customWidth="1" min="4" max="4" width="16.13"/>
    <col customWidth="1" min="5" max="5" width="40.75"/>
    <col customWidth="1" min="6" max="6" width="15.0"/>
    <col customWidth="1" min="7" max="7" width="35.25"/>
    <col customWidth="1" min="8" max="8" width="12.38"/>
  </cols>
  <sheetData>
    <row r="1">
      <c r="A1" s="1" t="s">
        <v>25</v>
      </c>
      <c r="B1" s="2" t="s">
        <v>26</v>
      </c>
      <c r="C1" s="13" t="s">
        <v>27</v>
      </c>
      <c r="D1" s="14" t="s">
        <v>28</v>
      </c>
      <c r="E1" s="1" t="s">
        <v>29</v>
      </c>
      <c r="F1" s="2" t="s">
        <v>30</v>
      </c>
      <c r="G1" s="1" t="s">
        <v>31</v>
      </c>
      <c r="H1" s="2" t="s">
        <v>32</v>
      </c>
    </row>
    <row r="2">
      <c r="A2" s="3" t="s">
        <v>2</v>
      </c>
      <c r="B2" s="4">
        <f>KPIs!$B$78</f>
        <v>0.1734693878</v>
      </c>
      <c r="C2" s="22" t="s">
        <v>33</v>
      </c>
      <c r="D2" s="6">
        <f>KPIs!B89</f>
        <v>560</v>
      </c>
      <c r="E2" s="3" t="s">
        <v>34</v>
      </c>
      <c r="F2" s="19">
        <f>KPIs!B49</f>
        <v>80</v>
      </c>
      <c r="G2" s="3" t="s">
        <v>35</v>
      </c>
      <c r="H2" s="19">
        <f>KPIs!B99</f>
        <v>98</v>
      </c>
    </row>
    <row r="3">
      <c r="A3" s="7" t="s">
        <v>36</v>
      </c>
      <c r="B3" s="6">
        <f>KPIs!B76</f>
        <v>20384</v>
      </c>
      <c r="C3" s="22" t="s">
        <v>37</v>
      </c>
      <c r="D3" s="6">
        <f>KPIs!B87</f>
        <v>7680</v>
      </c>
      <c r="E3" s="7" t="s">
        <v>38</v>
      </c>
      <c r="F3" s="6">
        <f>KPIs!B41</f>
        <v>40</v>
      </c>
      <c r="G3" s="7" t="s">
        <v>39</v>
      </c>
      <c r="H3" s="6">
        <f>KPIs!B97</f>
        <v>144</v>
      </c>
    </row>
    <row r="4">
      <c r="A4" s="7" t="s">
        <v>40</v>
      </c>
      <c r="B4" s="7">
        <f>SUM(KPIs!B72:B74)</f>
        <v>23920</v>
      </c>
      <c r="C4" s="22" t="s">
        <v>41</v>
      </c>
      <c r="D4" s="6">
        <f>KPIs!B86</f>
        <v>9600</v>
      </c>
      <c r="E4" s="7" t="s">
        <v>42</v>
      </c>
      <c r="F4" s="6">
        <f>KPIs!B34</f>
        <v>20</v>
      </c>
      <c r="G4" s="7" t="s">
        <v>43</v>
      </c>
      <c r="H4" s="6">
        <f>KPIs!B98</f>
        <v>70</v>
      </c>
    </row>
    <row r="5">
      <c r="A5" s="23" t="s">
        <v>44</v>
      </c>
      <c r="B5" s="10">
        <f>KPIs!B75</f>
        <v>3536</v>
      </c>
      <c r="C5" s="40" t="s">
        <v>90</v>
      </c>
      <c r="D5" s="10">
        <f>KPIs!B91</f>
        <v>128</v>
      </c>
      <c r="E5" s="23" t="s">
        <v>91</v>
      </c>
      <c r="F5" s="10">
        <f>KPIs!B96</f>
        <v>192</v>
      </c>
      <c r="G5" s="23" t="s">
        <v>92</v>
      </c>
      <c r="H5" s="10">
        <f>KPIs!B99</f>
        <v>98</v>
      </c>
    </row>
    <row r="6">
      <c r="A6" s="11"/>
      <c r="B6" s="11"/>
    </row>
    <row r="12">
      <c r="A12" s="11"/>
      <c r="B12" s="11"/>
    </row>
    <row r="18">
      <c r="A18" s="11"/>
      <c r="B18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4">
    <tablePart r:id="rId6"/>
    <tablePart r:id="rId7"/>
    <tablePart r:id="rId8"/>
    <tablePart r:id="rId9"/>
  </tableParts>
</worksheet>
</file>